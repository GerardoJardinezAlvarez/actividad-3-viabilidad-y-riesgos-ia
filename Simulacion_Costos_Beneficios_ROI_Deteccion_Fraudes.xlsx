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Ejecutivo" sheetId="1" state="visible" r:id="rId3"/>
    <sheet name="Costos" sheetId="2" state="visible" r:id="rId4"/>
    <sheet name="Beneficios" sheetId="3" state="visible" r:id="rId5"/>
    <sheet name="ROI y Payback"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<sst xmlns="http://schemas.openxmlformats.org/spreadsheetml/2006/main" count="236" uniqueCount="159">
  <si>
    <t xml:space="preserve">Simulación de Costos, Beneficios y ROI</t>
  </si>
  <si>
    <t xml:space="preserve">Sistema de Detección de Fraudes con IA · Empresa mediana (México) · Cifras en MXN · Horizonte: 3 años</t>
  </si>
  <si>
    <t xml:space="preserve">Descripción del proyecto</t>
  </si>
  <si>
    <t xml:space="preserve">Implementación de un sistema de inteligencia artificial para detectar transacciones fraudulentas en tiempo real. El modelo de machine learning analiza patrones transaccionales para reducir pérdidas por fraude, disminuir la revisión manual y mejorar la experiencia del cliente al reducir falsos positivos. Este tablero resume la viabilidad económica del proyecto.</t>
  </si>
  <si>
    <t xml:space="preserve">Indicadores clave del proyecto</t>
  </si>
  <si>
    <t xml:space="preserve">Indicador</t>
  </si>
  <si>
    <t xml:space="preserve">Valor</t>
  </si>
  <si>
    <t xml:space="preserve">Lectura</t>
  </si>
  <si>
    <t xml:space="preserve">Inversión inicial (Año 0)</t>
  </si>
  <si>
    <t xml:space="preserve">Desembolso único para construir el sistema</t>
  </si>
  <si>
    <t xml:space="preserve">Costo recurrente anual (OPEX)</t>
  </si>
  <si>
    <t xml:space="preserve">Operación y mantenimiento por año</t>
  </si>
  <si>
    <t xml:space="preserve">Costos totales (3 años)</t>
  </si>
  <si>
    <t xml:space="preserve">Inversión + operación a 3 años</t>
  </si>
  <si>
    <t xml:space="preserve">Beneficios totales (3 años)</t>
  </si>
  <si>
    <t xml:space="preserve">Ahorros y recuperaciones a 3 años</t>
  </si>
  <si>
    <t xml:space="preserve">Beneficio neto (3 años)</t>
  </si>
  <si>
    <t xml:space="preserve">Valor económico generado</t>
  </si>
  <si>
    <t xml:space="preserve">ROI (3 años)</t>
  </si>
  <si>
    <t xml:space="preserve">Por cada $1 invertido se recupera ese % adicional</t>
  </si>
  <si>
    <t xml:space="preserve">Periodo de recuperación (Payback)</t>
  </si>
  <si>
    <t xml:space="preserve">Años para recuperar la inversión</t>
  </si>
  <si>
    <t xml:space="preserve">Valor Presente Neto (VPN, 12%)</t>
  </si>
  <si>
    <t xml:space="preserve">Valor del proyecto descontado a hoy</t>
  </si>
  <si>
    <t xml:space="preserve">Interpretación y conclusión</t>
  </si>
  <si>
    <t xml:space="preserve">El proyecto es económicamente viable: genera un ROI positivo a 3 años, un VPN positivo a una tasa de descuento del 12% y recupera la inversión en poco más de un año. Estos resultados respaldan la decisión de inversión, siempre que se gestionen activamente los riesgos de sesgo, ética, explicabilidad y mantenimiento descritos en el mapa de riesgos y en el plan de mitigación.</t>
  </si>
  <si>
    <t xml:space="preserve">Leyenda de color: azul = dato de entrada (modificable) · negro = fórmula · verde = vínculo entre hojas.</t>
  </si>
  <si>
    <t xml:space="preserve">Costos del Proyecto — Sistema de Detección de Fraudes con IA (MXN)</t>
  </si>
  <si>
    <t xml:space="preserve">A. Costos tangibles: inversión inicial (CAPEX, Año 0) y costos recurrentes (OPEX, anual)</t>
  </si>
  <si>
    <t xml:space="preserve">Concepto</t>
  </si>
  <si>
    <t xml:space="preserve">Categoría</t>
  </si>
  <si>
    <t xml:space="preserve">Tipo</t>
  </si>
  <si>
    <t xml:space="preserve">Costo recurrente (anual)</t>
  </si>
  <si>
    <t xml:space="preserve">Notas / Supuesto</t>
  </si>
  <si>
    <t xml:space="preserve">Configuración de infraestructura cloud (cómputo/GPU)</t>
  </si>
  <si>
    <t xml:space="preserve">Infraestructura</t>
  </si>
  <si>
    <t xml:space="preserve">Tangible</t>
  </si>
  <si>
    <t xml:space="preserve">Entorno de entrenamiento y arquitectura del modelo</t>
  </si>
  <si>
    <t xml:space="preserve">Hardware / edge para inferencia de baja latencia</t>
  </si>
  <si>
    <t xml:space="preserve">Componentes para respuesta en tiempo real</t>
  </si>
  <si>
    <t xml:space="preserve">Adquisición e integración de fuentes de datos</t>
  </si>
  <si>
    <t xml:space="preserve">Datos</t>
  </si>
  <si>
    <t xml:space="preserve">Conexión a sistemas transaccionales y externos</t>
  </si>
  <si>
    <t xml:space="preserve">Limpieza, etiquetado y curado del dataset histórico</t>
  </si>
  <si>
    <t xml:space="preserve">Preparación de datos de fraude/no fraude</t>
  </si>
  <si>
    <t xml:space="preserve">Construcción de data lake y pipelines de datos</t>
  </si>
  <si>
    <t xml:space="preserve">Ingesta y procesamiento continuo</t>
  </si>
  <si>
    <t xml:space="preserve">Científico de datos senior (líder, fase de desarrollo)</t>
  </si>
  <si>
    <t xml:space="preserve">Talento</t>
  </si>
  <si>
    <t xml:space="preserve">~6-8 meses de desarrollo</t>
  </si>
  <si>
    <t xml:space="preserve">Dos ingenieros de Machine Learning (desarrollo)</t>
  </si>
  <si>
    <t xml:space="preserve">Construcción y validación del modelo</t>
  </si>
  <si>
    <t xml:space="preserve">Ingeniero de datos (desarrollo)</t>
  </si>
  <si>
    <t xml:space="preserve">Arquitectura de datos</t>
  </si>
  <si>
    <t xml:space="preserve">Project manager (dedicación parcial)</t>
  </si>
  <si>
    <t xml:space="preserve">Coordinación del proyecto</t>
  </si>
  <si>
    <t xml:space="preserve">Plataforma MLOps (implementación)</t>
  </si>
  <si>
    <t xml:space="preserve">Herramientas</t>
  </si>
  <si>
    <t xml:space="preserve">Despliegue, versionado y CI/CD del modelo</t>
  </si>
  <si>
    <t xml:space="preserve">Herramientas de explicabilidad y monitoreo de sesgo (setup)</t>
  </si>
  <si>
    <t xml:space="preserve">SHAP/LIME, paneles de equidad</t>
  </si>
  <si>
    <t xml:space="preserve">Consultoría legal, ética y cumplimiento (CNBV, LFPDPPP)</t>
  </si>
  <si>
    <t xml:space="preserve">Cumplimiento</t>
  </si>
  <si>
    <t xml:space="preserve">Marco regulatorio y protección de datos</t>
  </si>
  <si>
    <t xml:space="preserve">Capacitación inicial de equipo y usuarios</t>
  </si>
  <si>
    <t xml:space="preserve">Gestión del cambio</t>
  </si>
  <si>
    <t xml:space="preserve">Adopción y uso responsable</t>
  </si>
  <si>
    <t xml:space="preserve">Cómputo cloud para inferencia y almacenamiento</t>
  </si>
  <si>
    <t xml:space="preserve">Operación continua del sistema</t>
  </si>
  <si>
    <t xml:space="preserve">Actualización y enriquecimiento continuo de datos</t>
  </si>
  <si>
    <t xml:space="preserve">Datos frescos para reentrenamiento</t>
  </si>
  <si>
    <t xml:space="preserve">Ingeniero de ML (mantenimiento y reentrenamiento, 1 FTE)</t>
  </si>
  <si>
    <t xml:space="preserve">Evita degradación del modelo</t>
  </si>
  <si>
    <t xml:space="preserve">Analista de MLOps y monitoreo (0.5 FTE)</t>
  </si>
  <si>
    <t xml:space="preserve">Vigilancia de desempeño y drift</t>
  </si>
  <si>
    <t xml:space="preserve">Científico de datos (soporte parcial)</t>
  </si>
  <si>
    <t xml:space="preserve">Mejoras y ajustes del modelo</t>
  </si>
  <si>
    <t xml:space="preserve">Licencias anuales (MLOps, explicabilidad, monitoreo)</t>
  </si>
  <si>
    <t xml:space="preserve">Suscripciones de software</t>
  </si>
  <si>
    <t xml:space="preserve">Auditoría de sesgo, ética y cumplimiento</t>
  </si>
  <si>
    <t xml:space="preserve">Revisión periódica independiente</t>
  </si>
  <si>
    <t xml:space="preserve">TOTAL COSTOS TANGIBLES</t>
  </si>
  <si>
    <t xml:space="preserve">B. Costos intangibles (gestión cualitativa — criterio conservador: no se monetizan en el flujo base)</t>
  </si>
  <si>
    <t xml:space="preserve">Impacto estimado</t>
  </si>
  <si>
    <t xml:space="preserve">Notas</t>
  </si>
  <si>
    <t xml:space="preserve">Curva de aprendizaje y baja temporal de productividad</t>
  </si>
  <si>
    <t xml:space="preserve">Organizacional</t>
  </si>
  <si>
    <t xml:space="preserve">Intangible</t>
  </si>
  <si>
    <t xml:space="preserve">Medio</t>
  </si>
  <si>
    <t xml:space="preserve">Afecta las primeras semanas; mitigable con capacitación</t>
  </si>
  <si>
    <t xml:space="preserve">Resistencia al cambio del equipo de prevención de fraude</t>
  </si>
  <si>
    <t xml:space="preserve">Riesgo de adopción; requiere gestión del cambio</t>
  </si>
  <si>
    <t xml:space="preserve">Riesgo reputacional durante el despliegue inicial</t>
  </si>
  <si>
    <t xml:space="preserve">Reputacional</t>
  </si>
  <si>
    <t xml:space="preserve">Alto</t>
  </si>
  <si>
    <t xml:space="preserve">Errores tempranos del modelo pueden afectar la imagen</t>
  </si>
  <si>
    <t xml:space="preserve">Costo de oportunidad de la dirección y especialistas</t>
  </si>
  <si>
    <t xml:space="preserve">Estratégico</t>
  </si>
  <si>
    <t xml:space="preserve">Tiempo dedicado al proyecto vs. otras iniciativas</t>
  </si>
  <si>
    <t xml:space="preserve">Nota: los costos intangibles se documentan y gestionan cualitativamente. Por criterio conservador no se monetizan en el flujo de caja base; su tratamiento se aborda en el plan de mitigación de riesgos (Word).</t>
  </si>
  <si>
    <t xml:space="preserve">Beneficios del Proyecto — Sistema de Detección de Fraudes con IA (MXN)</t>
  </si>
  <si>
    <t xml:space="preserve">A. Beneficios tangibles (anuales, a plena capacidad operativa)</t>
  </si>
  <si>
    <t xml:space="preserve">Beneficio anual</t>
  </si>
  <si>
    <t xml:space="preserve">Reducción de pérdidas por fraude (detección temprana)</t>
  </si>
  <si>
    <t xml:space="preserve">Operativo</t>
  </si>
  <si>
    <t xml:space="preserve">≈40% sobre pérdidas base estimadas de ~$17.5 M anuales</t>
  </si>
  <si>
    <t xml:space="preserve">Reducción de costos por revisión manual de alertas</t>
  </si>
  <si>
    <t xml:space="preserve">Automatización del triage; menor carga del equipo</t>
  </si>
  <si>
    <t xml:space="preserve">Recuperación de ventas por menor tasa de falsos positivos</t>
  </si>
  <si>
    <t xml:space="preserve">Comercial</t>
  </si>
  <si>
    <t xml:space="preserve">Menos transacciones legítimas rechazadas</t>
  </si>
  <si>
    <t xml:space="preserve">Reducción de chargebacks y costos de disputa</t>
  </si>
  <si>
    <t xml:space="preserve">Financiero</t>
  </si>
  <si>
    <t xml:space="preserve">Menos contracargos y gestión de disputas</t>
  </si>
  <si>
    <t xml:space="preserve">TOTAL BENEFICIOS TANGIBLES (anual)</t>
  </si>
  <si>
    <t xml:space="preserve">B. Beneficios intangibles (cualitativos — criterio conservador: no monetizados en el ROI)</t>
  </si>
  <si>
    <t xml:space="preserve">Impacto</t>
  </si>
  <si>
    <t xml:space="preserve">Mayor confianza y retención de clientes</t>
  </si>
  <si>
    <t xml:space="preserve">Cliente</t>
  </si>
  <si>
    <t xml:space="preserve">Mejor experiencia y menor fricción en pagos</t>
  </si>
  <si>
    <t xml:space="preserve">Fortalecimiento de marca y reputación</t>
  </si>
  <si>
    <t xml:space="preserve">Posicionamiento como empresa segura y confiable</t>
  </si>
  <si>
    <t xml:space="preserve">Mejor cumplimiento regulatorio (menor riesgo de multas)</t>
  </si>
  <si>
    <t xml:space="preserve">Alineación con CNBV y LFPDPPP</t>
  </si>
  <si>
    <t xml:space="preserve">Capacidades analíticas y decisiones basadas en datos</t>
  </si>
  <si>
    <t xml:space="preserve">Reutilización de la infraestructura de datos</t>
  </si>
  <si>
    <t xml:space="preserve">Nota: por criterio conservador, los beneficios intangibles no se incluyen en el cálculo del ROI; refuerzan cualitativamente la justificación estratégica del proyecto.</t>
  </si>
  <si>
    <t xml:space="preserve">Análisis de ROI y Periodo de Recuperación (Payback) — MXN</t>
  </si>
  <si>
    <t xml:space="preserve">Supuestos del modelo</t>
  </si>
  <si>
    <t xml:space="preserve">Beneficio anual a plena capacidad</t>
  </si>
  <si>
    <t xml:space="preserve">Rampa de adopción — Año 1</t>
  </si>
  <si>
    <t xml:space="preserve">Rampa de adopción — Año 2</t>
  </si>
  <si>
    <t xml:space="preserve">Rampa de adopción — Año 3</t>
  </si>
  <si>
    <t xml:space="preserve">Tasa de descuento (para VPN)</t>
  </si>
  <si>
    <t xml:space="preserve">Flujo de caja del proyecto (MXN)</t>
  </si>
  <si>
    <t xml:space="preserve">Año 0</t>
  </si>
  <si>
    <t xml:space="preserve">Año 1</t>
  </si>
  <si>
    <t xml:space="preserve">Año 2</t>
  </si>
  <si>
    <t xml:space="preserve">Año 3</t>
  </si>
  <si>
    <t xml:space="preserve">Inversión inicial</t>
  </si>
  <si>
    <t xml:space="preserve">Beneficios</t>
  </si>
  <si>
    <t xml:space="preserve">Costos recurrentes (OPEX)</t>
  </si>
  <si>
    <t xml:space="preserve">Flujo neto del año</t>
  </si>
  <si>
    <t xml:space="preserve">Flujo de caja acumulado</t>
  </si>
  <si>
    <t xml:space="preserve">Factor de descuento</t>
  </si>
  <si>
    <t xml:space="preserve">Flujo descontado</t>
  </si>
  <si>
    <t xml:space="preserve">Resultados del análisis</t>
  </si>
  <si>
    <t xml:space="preserve">Cómo se calcula</t>
  </si>
  <si>
    <t xml:space="preserve">Inversión inicial + 3 años de OPEX</t>
  </si>
  <si>
    <t xml:space="preserve">Suma de beneficios con rampa de adopción</t>
  </si>
  <si>
    <t xml:space="preserve">Beneficios totales − Costos totales</t>
  </si>
  <si>
    <t xml:space="preserve">Beneficio neto / Costos totales</t>
  </si>
  <si>
    <t xml:space="preserve">Payback (años)</t>
  </si>
  <si>
    <t xml:space="preserve">Recuperación durante el Año 2: 1 + |acum. Año 1| / flujo neto Año 2</t>
  </si>
  <si>
    <t xml:space="preserve">Payback (meses)</t>
  </si>
  <si>
    <t xml:space="preserve">Equivalente en meses (≈ 1 año y 2 meses)</t>
  </si>
  <si>
    <t xml:space="preserve">Suma de los flujos descontados</t>
  </si>
  <si>
    <t xml:space="preserve">Tasa Interna de Retorno (TIR)</t>
  </si>
  <si>
    <t xml:space="preserve">Rendimiento que iguala el VPN a cero</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</si>
</sst>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
    <numFmt numFmtId="168" formatCode="0.000"/>
    <numFmt numFmtId="169" formatCode="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1"/>
      <color rgb="FF1F4E78"/>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sz val="10"/>
      <color rgb="FF008000"/>
      <name val="Arial"/>
      <family val="0"/>
      <charset val="1"/>
    </font>
    <font>
      <i val="true"/>
      <sz val="9"/>
      <color rgb="FF595959"/>
      <name val="Arial"/>
      <family val="0"/>
      <charset val="1"/>
    </font>
    <font>
      <sz val="10"/>
      <color rgb="FF0000FF"/>
      <name val="Arial"/>
      <family val="0"/>
      <charset val="1"/>
    </font>
    <font>
      <b val="true"/>
      <sz val="10"/>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rgb="FF4472C4"/>
        <bgColor rgb="FF4F81BD"/>
      </patternFill>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10" fillId="5"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0" fillId="5" borderId="1" xfId="0" applyFont="true" applyBorder="true" applyAlignment="true" applyProtection="false">
      <alignment horizontal="right" vertical="center" textRotation="0" wrapText="false" indent="0" shrinkToFit="false"/>
      <protection locked="true" hidden="false"/>
    </xf>
    <xf numFmtId="167" fontId="10" fillId="5"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right" vertical="center" textRotation="0" wrapText="false" indent="0" shrinkToFit="false"/>
      <protection locked="true" hidden="false"/>
    </xf>
    <xf numFmtId="164" fontId="13" fillId="6" borderId="1" xfId="0" applyFont="true" applyBorder="true" applyAlignment="true" applyProtection="false">
      <alignment horizontal="right" vertical="center" textRotation="0" wrapText="false" indent="0" shrinkToFit="false"/>
      <protection locked="true" hidden="false"/>
    </xf>
    <xf numFmtId="165" fontId="13" fillId="6" borderId="1" xfId="0" applyFont="true" applyBorder="true" applyAlignment="true" applyProtection="false">
      <alignment horizontal="righ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2" fillId="0" borderId="1" xfId="0" applyFont="true" applyBorder="true" applyAlignment="true" applyProtection="false">
      <alignment horizontal="righ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5" fontId="9" fillId="6"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8" fontId="11"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6" fontId="13" fillId="5" borderId="1"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7" fontId="13" fillId="5" borderId="1" xfId="0" applyFont="true" applyBorder="true" applyAlignment="true" applyProtection="false">
      <alignment horizontal="right" vertical="center" textRotation="0" wrapText="false" indent="0" shrinkToFit="false"/>
      <protection locked="true" hidden="false"/>
    </xf>
    <xf numFmtId="169" fontId="9" fillId="0" borderId="1" xfId="0" applyFont="true" applyBorder="true" applyAlignment="true" applyProtection="false">
      <alignment horizontal="right" vertical="center" textRotation="0" wrapText="false" indent="0" shrinkToFit="false"/>
      <protection locked="true" hidden="false"/>
    </xf>
    <xf numFmtId="165" fontId="13" fillId="5"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595959"/>
      <rgbColor rgb="FF969696"/>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Flujo de caja acumulado (MXN)</a:t>
            </a:r>
          </a:p>
        </c:rich>
      </c:tx>
      <c:overlay val="0"/>
      <c:spPr>
        <a:noFill/>
        <a:ln w="0">
          <a:noFill/>
        </a:ln>
      </c:spPr>
    </c:title>
    <c:autoTitleDeleted val="0"/>
    <c:plotArea>
      <c:barChart>
        <c:barDir val="col"/>
        <c:grouping val="clustered"/>
        <c:varyColors val="0"/>
        <c:ser>
          <c:idx val="0"/>
          <c:order val="0"/>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'ROI y Payback'!$B$13:$E$13</c:f>
              <c:strCache>
                <c:ptCount val="4"/>
                <c:pt idx="0">
                  <c:v>Año 0</c:v>
                </c:pt>
                <c:pt idx="1">
                  <c:v>Año 1</c:v>
                </c:pt>
                <c:pt idx="2">
                  <c:v>Año 2</c:v>
                </c:pt>
                <c:pt idx="3">
                  <c:v>Año 3</c:v>
                </c:pt>
              </c:strCache>
            </c:strRef>
          </c:cat>
          <c:val>
            <c:numRef>
              <c:f>'ROI y Payback'!$B$18:$E$18</c:f>
              <c:numCache>
                <c:formatCode>\$#,##0;"($"#,##0\);\-</c:formatCode>
                <c:ptCount val="4"/>
                <c:pt idx="0">
                  <c:v>-6400000</c:v>
                </c:pt>
                <c:pt idx="1">
                  <c:v>-1175000</c:v>
                </c:pt>
                <c:pt idx="2">
                  <c:v>6825000</c:v>
                </c:pt>
                <c:pt idx="3">
                  <c:v>14825000</c:v>
                </c:pt>
              </c:numCache>
            </c:numRef>
          </c:val>
        </c:ser>
        <c:gapWidth val="150"/>
        <c:overlap val="0"/>
        <c:axId val="48950285"/>
        <c:axId val="75978027"/>
      </c:barChart>
      <c:catAx>
        <c:axId val="4895028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Periodo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978027"/>
        <c:crosses val="autoZero"/>
        <c:auto val="1"/>
        <c:lblAlgn val="ctr"/>
        <c:lblOffset val="100"/>
        <c:noMultiLvlLbl val="0"/>
      </c:catAx>
      <c:valAx>
        <c:axId val="7597802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MXN</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895028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33</xdr:row>
      <xdr:rowOff>0</xdr:rowOff>
    </xdr:from>
    <xdr:to>
      <xdr:col>2</xdr:col>
      <xdr:colOff>1014480</xdr:colOff>
      <xdr:row>47</xdr:row>
      <xdr:rowOff>32400</xdr:rowOff>
    </xdr:to>
    <xdr:graphicFrame>
      <xdr:nvGraphicFramePr>
        <xdr:cNvPr id="1" name="Chart 1"/>
        <xdr:cNvGraphicFramePr/>
      </xdr:nvGraphicFramePr>
      <xdr:xfrm>
        <a:off x="0" y="6513120"/>
        <a:ext cx="46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26"/>
    <col collapsed="false" customWidth="true" hidden="false" outlineLevel="0" max="3" min="3" style="0" width="40"/>
  </cols>
  <sheetData>
    <row r="1" customFormat="false" ht="30" hidden="false" customHeight="true" outlineLevel="0" collapsed="false">
      <c r="A1" s="1" t="s">
        <v>0</v>
      </c>
      <c r="B1" s="1"/>
      <c r="C1" s="1"/>
    </row>
    <row r="2" customFormat="false" ht="18" hidden="false" customHeight="true" outlineLevel="0" collapsed="false">
      <c r="A2" s="2" t="s">
        <v>1</v>
      </c>
      <c r="B2" s="2"/>
      <c r="C2" s="2"/>
    </row>
    <row r="4" customFormat="false" ht="15" hidden="false" customHeight="true" outlineLevel="0" collapsed="false">
      <c r="A4" s="3" t="s">
        <v>2</v>
      </c>
      <c r="B4" s="3"/>
      <c r="C4" s="3"/>
    </row>
    <row r="5" customFormat="false" ht="57.75" hidden="false" customHeight="true" outlineLevel="0" collapsed="false">
      <c r="A5" s="4" t="s">
        <v>3</v>
      </c>
      <c r="B5" s="4"/>
      <c r="C5" s="4"/>
    </row>
    <row r="6" customFormat="false" ht="15" hidden="false" customHeight="false" outlineLevel="0" collapsed="false">
      <c r="A6" s="4"/>
      <c r="B6" s="4"/>
      <c r="C6" s="4"/>
    </row>
    <row r="7" customFormat="false" ht="15" hidden="false" customHeight="false" outlineLevel="0" collapsed="false">
      <c r="A7" s="4"/>
      <c r="B7" s="4"/>
      <c r="C7" s="4"/>
    </row>
    <row r="9" customFormat="false" ht="15" hidden="false" customHeight="true" outlineLevel="0" collapsed="false">
      <c r="A9" s="3" t="s">
        <v>4</v>
      </c>
      <c r="B9" s="3"/>
      <c r="C9" s="3"/>
    </row>
    <row r="10" customFormat="false" ht="15" hidden="false" customHeight="false" outlineLevel="0" collapsed="false">
      <c r="A10" s="5" t="s">
        <v>5</v>
      </c>
      <c r="B10" s="5" t="s">
        <v>6</v>
      </c>
      <c r="C10" s="5" t="s">
        <v>7</v>
      </c>
    </row>
    <row r="11" customFormat="false" ht="15" hidden="false" customHeight="false" outlineLevel="0" collapsed="false">
      <c r="A11" s="6" t="s">
        <v>8</v>
      </c>
      <c r="B11" s="7" t="n">
        <f aca="false">'ROI y Payback'!$B$4</f>
        <v>6400000</v>
      </c>
      <c r="C11" s="8" t="s">
        <v>9</v>
      </c>
    </row>
    <row r="12" customFormat="false" ht="15" hidden="false" customHeight="false" outlineLevel="0" collapsed="false">
      <c r="A12" s="6" t="s">
        <v>10</v>
      </c>
      <c r="B12" s="7" t="n">
        <f aca="false">'ROI y Payback'!$B$5</f>
        <v>3100000</v>
      </c>
      <c r="C12" s="8" t="s">
        <v>11</v>
      </c>
    </row>
    <row r="13" customFormat="false" ht="15" hidden="false" customHeight="false" outlineLevel="0" collapsed="false">
      <c r="A13" s="6" t="s">
        <v>12</v>
      </c>
      <c r="B13" s="7" t="n">
        <f aca="false">'ROI y Payback'!$B$24</f>
        <v>15700000</v>
      </c>
      <c r="C13" s="8" t="s">
        <v>13</v>
      </c>
    </row>
    <row r="14" customFormat="false" ht="15" hidden="false" customHeight="false" outlineLevel="0" collapsed="false">
      <c r="A14" s="6" t="s">
        <v>14</v>
      </c>
      <c r="B14" s="7" t="n">
        <f aca="false">'ROI y Payback'!$B$25</f>
        <v>30525000</v>
      </c>
      <c r="C14" s="8" t="s">
        <v>15</v>
      </c>
    </row>
    <row r="15" customFormat="false" ht="15" hidden="false" customHeight="false" outlineLevel="0" collapsed="false">
      <c r="A15" s="6" t="s">
        <v>16</v>
      </c>
      <c r="B15" s="7" t="n">
        <f aca="false">'ROI y Payback'!$B$26</f>
        <v>14825000</v>
      </c>
      <c r="C15" s="8" t="s">
        <v>17</v>
      </c>
    </row>
    <row r="16" customFormat="false" ht="15" hidden="false" customHeight="false" outlineLevel="0" collapsed="false">
      <c r="A16" s="6" t="s">
        <v>18</v>
      </c>
      <c r="B16" s="9" t="n">
        <f aca="false">'ROI y Payback'!$B$27</f>
        <v>0.944267515923567</v>
      </c>
      <c r="C16" s="8" t="s">
        <v>19</v>
      </c>
    </row>
    <row r="17" customFormat="false" ht="15" hidden="false" customHeight="false" outlineLevel="0" collapsed="false">
      <c r="A17" s="6" t="s">
        <v>20</v>
      </c>
      <c r="B17" s="10" t="n">
        <f aca="false">'ROI y Payback'!$B$28</f>
        <v>1.146875</v>
      </c>
      <c r="C17" s="8" t="s">
        <v>21</v>
      </c>
    </row>
    <row r="18" customFormat="false" ht="15" hidden="false" customHeight="false" outlineLevel="0" collapsed="false">
      <c r="A18" s="6" t="s">
        <v>22</v>
      </c>
      <c r="B18" s="7" t="n">
        <f aca="false">'ROI y Payback'!$B$30</f>
        <v>10336971.574344</v>
      </c>
      <c r="C18" s="8" t="s">
        <v>23</v>
      </c>
    </row>
    <row r="20" customFormat="false" ht="15" hidden="false" customHeight="true" outlineLevel="0" collapsed="false">
      <c r="A20" s="3" t="s">
        <v>24</v>
      </c>
      <c r="B20" s="3"/>
      <c r="C20" s="3"/>
    </row>
    <row r="21" customFormat="false" ht="57.75" hidden="false" customHeight="true" outlineLevel="0" collapsed="false">
      <c r="A21" s="4" t="s">
        <v>25</v>
      </c>
      <c r="B21" s="4"/>
      <c r="C21" s="4"/>
    </row>
    <row r="22" customFormat="false" ht="15" hidden="false" customHeight="false" outlineLevel="0" collapsed="false">
      <c r="A22" s="4"/>
      <c r="B22" s="4"/>
      <c r="C22" s="4"/>
    </row>
    <row r="23" customFormat="false" ht="15" hidden="false" customHeight="false" outlineLevel="0" collapsed="false">
      <c r="A23" s="4"/>
      <c r="B23" s="4"/>
      <c r="C23" s="4"/>
    </row>
    <row r="25" customFormat="false" ht="15" hidden="false" customHeight="true" outlineLevel="0" collapsed="false">
      <c r="A25" s="11" t="s">
        <v>26</v>
      </c>
      <c r="B25" s="11"/>
      <c r="C25" s="11"/>
    </row>
  </sheetData>
  <mergeCells count="8">
    <mergeCell ref="A1:C1"/>
    <mergeCell ref="A2:C2"/>
    <mergeCell ref="A4:C4"/>
    <mergeCell ref="A5:C7"/>
    <mergeCell ref="A9:C9"/>
    <mergeCell ref="A20:C20"/>
    <mergeCell ref="A21:C23"/>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2" min="2" style="0" width="20"/>
    <col collapsed="false" customWidth="true" hidden="false" outlineLevel="0" max="3" min="3" style="0" width="13"/>
    <col collapsed="false" customWidth="true" hidden="false" outlineLevel="0" max="4" min="4" style="0" width="20"/>
    <col collapsed="false" customWidth="true" hidden="false" outlineLevel="0" max="5" min="5" style="0" width="22"/>
    <col collapsed="false" customWidth="true" hidden="false" outlineLevel="0" max="6" min="6" style="0" width="42"/>
  </cols>
  <sheetData>
    <row r="1" customFormat="false" ht="25.5" hidden="false" customHeight="true" outlineLevel="0" collapsed="false">
      <c r="A1" s="1" t="s">
        <v>27</v>
      </c>
      <c r="B1" s="1"/>
      <c r="C1" s="1"/>
      <c r="D1" s="1"/>
      <c r="E1" s="1"/>
      <c r="F1" s="1"/>
    </row>
    <row r="3" customFormat="false" ht="15" hidden="false" customHeight="true" outlineLevel="0" collapsed="false">
      <c r="A3" s="3" t="s">
        <v>28</v>
      </c>
      <c r="B3" s="3"/>
      <c r="C3" s="3"/>
      <c r="D3" s="3"/>
      <c r="E3" s="3"/>
      <c r="F3" s="3"/>
    </row>
    <row r="4" customFormat="false" ht="30" hidden="false" customHeight="true" outlineLevel="0" collapsed="false">
      <c r="A4" s="5" t="s">
        <v>29</v>
      </c>
      <c r="B4" s="5" t="s">
        <v>30</v>
      </c>
      <c r="C4" s="5" t="s">
        <v>31</v>
      </c>
      <c r="D4" s="5" t="s">
        <v>8</v>
      </c>
      <c r="E4" s="5" t="s">
        <v>32</v>
      </c>
      <c r="F4" s="5" t="s">
        <v>33</v>
      </c>
    </row>
    <row r="5" customFormat="false" ht="15" hidden="false" customHeight="false" outlineLevel="0" collapsed="false">
      <c r="A5" s="12" t="s">
        <v>34</v>
      </c>
      <c r="B5" s="13" t="s">
        <v>35</v>
      </c>
      <c r="C5" s="13" t="s">
        <v>36</v>
      </c>
      <c r="D5" s="14" t="n">
        <v>650000</v>
      </c>
      <c r="E5" s="14"/>
      <c r="F5" s="8" t="s">
        <v>37</v>
      </c>
    </row>
    <row r="6" customFormat="false" ht="15" hidden="false" customHeight="false" outlineLevel="0" collapsed="false">
      <c r="A6" s="12" t="s">
        <v>38</v>
      </c>
      <c r="B6" s="13" t="s">
        <v>35</v>
      </c>
      <c r="C6" s="13" t="s">
        <v>36</v>
      </c>
      <c r="D6" s="14" t="n">
        <v>350000</v>
      </c>
      <c r="E6" s="14"/>
      <c r="F6" s="8" t="s">
        <v>39</v>
      </c>
    </row>
    <row r="7" customFormat="false" ht="15" hidden="false" customHeight="false" outlineLevel="0" collapsed="false">
      <c r="A7" s="12" t="s">
        <v>40</v>
      </c>
      <c r="B7" s="13" t="s">
        <v>41</v>
      </c>
      <c r="C7" s="13" t="s">
        <v>36</v>
      </c>
      <c r="D7" s="14" t="n">
        <v>400000</v>
      </c>
      <c r="E7" s="14"/>
      <c r="F7" s="8" t="s">
        <v>42</v>
      </c>
    </row>
    <row r="8" customFormat="false" ht="15" hidden="false" customHeight="false" outlineLevel="0" collapsed="false">
      <c r="A8" s="12" t="s">
        <v>43</v>
      </c>
      <c r="B8" s="13" t="s">
        <v>41</v>
      </c>
      <c r="C8" s="13" t="s">
        <v>36</v>
      </c>
      <c r="D8" s="14" t="n">
        <v>700000</v>
      </c>
      <c r="E8" s="14"/>
      <c r="F8" s="8" t="s">
        <v>44</v>
      </c>
    </row>
    <row r="9" customFormat="false" ht="15" hidden="false" customHeight="false" outlineLevel="0" collapsed="false">
      <c r="A9" s="12" t="s">
        <v>45</v>
      </c>
      <c r="B9" s="13" t="s">
        <v>41</v>
      </c>
      <c r="C9" s="13" t="s">
        <v>36</v>
      </c>
      <c r="D9" s="14" t="n">
        <v>500000</v>
      </c>
      <c r="E9" s="14"/>
      <c r="F9" s="8" t="s">
        <v>46</v>
      </c>
    </row>
    <row r="10" customFormat="false" ht="15" hidden="false" customHeight="false" outlineLevel="0" collapsed="false">
      <c r="A10" s="12" t="s">
        <v>47</v>
      </c>
      <c r="B10" s="13" t="s">
        <v>48</v>
      </c>
      <c r="C10" s="13" t="s">
        <v>36</v>
      </c>
      <c r="D10" s="14" t="n">
        <v>900000</v>
      </c>
      <c r="E10" s="14"/>
      <c r="F10" s="8" t="s">
        <v>49</v>
      </c>
    </row>
    <row r="11" customFormat="false" ht="15" hidden="false" customHeight="false" outlineLevel="0" collapsed="false">
      <c r="A11" s="12" t="s">
        <v>50</v>
      </c>
      <c r="B11" s="13" t="s">
        <v>48</v>
      </c>
      <c r="C11" s="13" t="s">
        <v>36</v>
      </c>
      <c r="D11" s="14" t="n">
        <v>1200000</v>
      </c>
      <c r="E11" s="14"/>
      <c r="F11" s="8" t="s">
        <v>51</v>
      </c>
    </row>
    <row r="12" customFormat="false" ht="15" hidden="false" customHeight="false" outlineLevel="0" collapsed="false">
      <c r="A12" s="12" t="s">
        <v>52</v>
      </c>
      <c r="B12" s="13" t="s">
        <v>48</v>
      </c>
      <c r="C12" s="13" t="s">
        <v>36</v>
      </c>
      <c r="D12" s="14" t="n">
        <v>500000</v>
      </c>
      <c r="E12" s="14"/>
      <c r="F12" s="8" t="s">
        <v>53</v>
      </c>
    </row>
    <row r="13" customFormat="false" ht="15" hidden="false" customHeight="false" outlineLevel="0" collapsed="false">
      <c r="A13" s="12" t="s">
        <v>54</v>
      </c>
      <c r="B13" s="13" t="s">
        <v>48</v>
      </c>
      <c r="C13" s="13" t="s">
        <v>36</v>
      </c>
      <c r="D13" s="14" t="n">
        <v>300000</v>
      </c>
      <c r="E13" s="14"/>
      <c r="F13" s="8" t="s">
        <v>55</v>
      </c>
    </row>
    <row r="14" customFormat="false" ht="15" hidden="false" customHeight="false" outlineLevel="0" collapsed="false">
      <c r="A14" s="12" t="s">
        <v>56</v>
      </c>
      <c r="B14" s="13" t="s">
        <v>57</v>
      </c>
      <c r="C14" s="13" t="s">
        <v>36</v>
      </c>
      <c r="D14" s="14" t="n">
        <v>250000</v>
      </c>
      <c r="E14" s="14"/>
      <c r="F14" s="8" t="s">
        <v>58</v>
      </c>
    </row>
    <row r="15" customFormat="false" ht="23.85" hidden="false" customHeight="false" outlineLevel="0" collapsed="false">
      <c r="A15" s="12" t="s">
        <v>59</v>
      </c>
      <c r="B15" s="13" t="s">
        <v>57</v>
      </c>
      <c r="C15" s="13" t="s">
        <v>36</v>
      </c>
      <c r="D15" s="14" t="n">
        <v>150000</v>
      </c>
      <c r="E15" s="14"/>
      <c r="F15" s="8" t="s">
        <v>60</v>
      </c>
    </row>
    <row r="16" customFormat="false" ht="15" hidden="false" customHeight="false" outlineLevel="0" collapsed="false">
      <c r="A16" s="12" t="s">
        <v>61</v>
      </c>
      <c r="B16" s="13" t="s">
        <v>62</v>
      </c>
      <c r="C16" s="13" t="s">
        <v>36</v>
      </c>
      <c r="D16" s="14" t="n">
        <v>300000</v>
      </c>
      <c r="E16" s="14"/>
      <c r="F16" s="8" t="s">
        <v>63</v>
      </c>
    </row>
    <row r="17" customFormat="false" ht="15" hidden="false" customHeight="false" outlineLevel="0" collapsed="false">
      <c r="A17" s="12" t="s">
        <v>64</v>
      </c>
      <c r="B17" s="13" t="s">
        <v>65</v>
      </c>
      <c r="C17" s="13" t="s">
        <v>36</v>
      </c>
      <c r="D17" s="14" t="n">
        <v>200000</v>
      </c>
      <c r="E17" s="14"/>
      <c r="F17" s="8" t="s">
        <v>66</v>
      </c>
    </row>
    <row r="18" customFormat="false" ht="15" hidden="false" customHeight="false" outlineLevel="0" collapsed="false">
      <c r="A18" s="12" t="s">
        <v>67</v>
      </c>
      <c r="B18" s="13" t="s">
        <v>35</v>
      </c>
      <c r="C18" s="13" t="s">
        <v>36</v>
      </c>
      <c r="D18" s="14"/>
      <c r="E18" s="14" t="n">
        <v>900000</v>
      </c>
      <c r="F18" s="8" t="s">
        <v>68</v>
      </c>
    </row>
    <row r="19" customFormat="false" ht="15" hidden="false" customHeight="false" outlineLevel="0" collapsed="false">
      <c r="A19" s="12" t="s">
        <v>69</v>
      </c>
      <c r="B19" s="13" t="s">
        <v>41</v>
      </c>
      <c r="C19" s="13" t="s">
        <v>36</v>
      </c>
      <c r="D19" s="14"/>
      <c r="E19" s="14" t="n">
        <v>300000</v>
      </c>
      <c r="F19" s="8" t="s">
        <v>70</v>
      </c>
    </row>
    <row r="20" customFormat="false" ht="23.85" hidden="false" customHeight="false" outlineLevel="0" collapsed="false">
      <c r="A20" s="12" t="s">
        <v>71</v>
      </c>
      <c r="B20" s="13" t="s">
        <v>48</v>
      </c>
      <c r="C20" s="13" t="s">
        <v>36</v>
      </c>
      <c r="D20" s="14"/>
      <c r="E20" s="14" t="n">
        <v>700000</v>
      </c>
      <c r="F20" s="8" t="s">
        <v>72</v>
      </c>
    </row>
    <row r="21" customFormat="false" ht="15" hidden="false" customHeight="false" outlineLevel="0" collapsed="false">
      <c r="A21" s="12" t="s">
        <v>73</v>
      </c>
      <c r="B21" s="13" t="s">
        <v>48</v>
      </c>
      <c r="C21" s="13" t="s">
        <v>36</v>
      </c>
      <c r="D21" s="14"/>
      <c r="E21" s="14" t="n">
        <v>350000</v>
      </c>
      <c r="F21" s="8" t="s">
        <v>74</v>
      </c>
    </row>
    <row r="22" customFormat="false" ht="15" hidden="false" customHeight="false" outlineLevel="0" collapsed="false">
      <c r="A22" s="12" t="s">
        <v>75</v>
      </c>
      <c r="B22" s="13" t="s">
        <v>48</v>
      </c>
      <c r="C22" s="13" t="s">
        <v>36</v>
      </c>
      <c r="D22" s="14"/>
      <c r="E22" s="14" t="n">
        <v>250000</v>
      </c>
      <c r="F22" s="8" t="s">
        <v>76</v>
      </c>
    </row>
    <row r="23" customFormat="false" ht="15" hidden="false" customHeight="false" outlineLevel="0" collapsed="false">
      <c r="A23" s="12" t="s">
        <v>77</v>
      </c>
      <c r="B23" s="13" t="s">
        <v>57</v>
      </c>
      <c r="C23" s="13" t="s">
        <v>36</v>
      </c>
      <c r="D23" s="14"/>
      <c r="E23" s="14" t="n">
        <v>400000</v>
      </c>
      <c r="F23" s="8" t="s">
        <v>78</v>
      </c>
    </row>
    <row r="24" customFormat="false" ht="15" hidden="false" customHeight="false" outlineLevel="0" collapsed="false">
      <c r="A24" s="12" t="s">
        <v>79</v>
      </c>
      <c r="B24" s="13" t="s">
        <v>62</v>
      </c>
      <c r="C24" s="13" t="s">
        <v>36</v>
      </c>
      <c r="D24" s="14"/>
      <c r="E24" s="14" t="n">
        <v>200000</v>
      </c>
      <c r="F24" s="8" t="s">
        <v>80</v>
      </c>
    </row>
    <row r="25" customFormat="false" ht="15" hidden="false" customHeight="false" outlineLevel="0" collapsed="false">
      <c r="A25" s="15" t="s">
        <v>81</v>
      </c>
      <c r="B25" s="15"/>
      <c r="C25" s="15"/>
      <c r="D25" s="16" t="n">
        <f aca="false">SUM(D5:D24)</f>
        <v>6400000</v>
      </c>
      <c r="E25" s="16" t="n">
        <f aca="false">SUM(E5:E24)</f>
        <v>3100000</v>
      </c>
      <c r="F25" s="17"/>
    </row>
    <row r="27" customFormat="false" ht="15" hidden="false" customHeight="true" outlineLevel="0" collapsed="false">
      <c r="A27" s="3" t="s">
        <v>82</v>
      </c>
      <c r="B27" s="3"/>
      <c r="C27" s="3"/>
      <c r="D27" s="3"/>
      <c r="E27" s="3"/>
      <c r="F27" s="3"/>
    </row>
    <row r="28" customFormat="false" ht="15" hidden="false" customHeight="false" outlineLevel="0" collapsed="false">
      <c r="A28" s="5" t="s">
        <v>29</v>
      </c>
      <c r="B28" s="5" t="s">
        <v>30</v>
      </c>
      <c r="C28" s="5" t="s">
        <v>31</v>
      </c>
      <c r="D28" s="5" t="s">
        <v>83</v>
      </c>
      <c r="E28" s="5" t="s">
        <v>84</v>
      </c>
    </row>
    <row r="29" customFormat="false" ht="15" hidden="false" customHeight="true" outlineLevel="0" collapsed="false">
      <c r="A29" s="18" t="s">
        <v>85</v>
      </c>
      <c r="B29" s="19" t="s">
        <v>86</v>
      </c>
      <c r="C29" s="19" t="s">
        <v>87</v>
      </c>
      <c r="D29" s="20" t="s">
        <v>88</v>
      </c>
      <c r="E29" s="21" t="s">
        <v>89</v>
      </c>
      <c r="F29" s="21"/>
    </row>
    <row r="30" customFormat="false" ht="15" hidden="false" customHeight="true" outlineLevel="0" collapsed="false">
      <c r="A30" s="18" t="s">
        <v>90</v>
      </c>
      <c r="B30" s="19" t="s">
        <v>86</v>
      </c>
      <c r="C30" s="19" t="s">
        <v>87</v>
      </c>
      <c r="D30" s="20" t="s">
        <v>88</v>
      </c>
      <c r="E30" s="21" t="s">
        <v>91</v>
      </c>
      <c r="F30" s="21"/>
    </row>
    <row r="31" customFormat="false" ht="15" hidden="false" customHeight="true" outlineLevel="0" collapsed="false">
      <c r="A31" s="18" t="s">
        <v>92</v>
      </c>
      <c r="B31" s="19" t="s">
        <v>93</v>
      </c>
      <c r="C31" s="19" t="s">
        <v>87</v>
      </c>
      <c r="D31" s="20" t="s">
        <v>94</v>
      </c>
      <c r="E31" s="21" t="s">
        <v>95</v>
      </c>
      <c r="F31" s="21"/>
    </row>
    <row r="32" customFormat="false" ht="15" hidden="false" customHeight="true" outlineLevel="0" collapsed="false">
      <c r="A32" s="18" t="s">
        <v>96</v>
      </c>
      <c r="B32" s="19" t="s">
        <v>97</v>
      </c>
      <c r="C32" s="19" t="s">
        <v>87</v>
      </c>
      <c r="D32" s="20" t="s">
        <v>88</v>
      </c>
      <c r="E32" s="21" t="s">
        <v>98</v>
      </c>
      <c r="F32" s="21"/>
    </row>
    <row r="33" customFormat="false" ht="27.75" hidden="false" customHeight="true" outlineLevel="0" collapsed="false">
      <c r="A33" s="22" t="s">
        <v>99</v>
      </c>
      <c r="B33" s="22"/>
      <c r="C33" s="22"/>
      <c r="D33" s="22"/>
      <c r="E33" s="22"/>
      <c r="F33" s="22"/>
    </row>
  </sheetData>
  <mergeCells count="9">
    <mergeCell ref="A1:F1"/>
    <mergeCell ref="A3:F3"/>
    <mergeCell ref="A25:C25"/>
    <mergeCell ref="A27:F27"/>
    <mergeCell ref="E29:F29"/>
    <mergeCell ref="E30:F30"/>
    <mergeCell ref="E31:F31"/>
    <mergeCell ref="E32:F32"/>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18"/>
    <col collapsed="false" customWidth="true" hidden="false" outlineLevel="0" max="3" min="3" style="0" width="13"/>
    <col collapsed="false" customWidth="true" hidden="false" outlineLevel="0" max="4" min="4" style="0" width="22"/>
    <col collapsed="false" customWidth="true" hidden="false" outlineLevel="0" max="5" min="5" style="0" width="46"/>
  </cols>
  <sheetData>
    <row r="1" customFormat="false" ht="25.5" hidden="false" customHeight="true" outlineLevel="0" collapsed="false">
      <c r="A1" s="1" t="s">
        <v>100</v>
      </c>
      <c r="B1" s="1"/>
      <c r="C1" s="1"/>
      <c r="D1" s="1"/>
      <c r="E1" s="1"/>
    </row>
    <row r="3" customFormat="false" ht="15" hidden="false" customHeight="true" outlineLevel="0" collapsed="false">
      <c r="A3" s="3" t="s">
        <v>101</v>
      </c>
      <c r="B3" s="3"/>
      <c r="C3" s="3"/>
      <c r="D3" s="3"/>
      <c r="E3" s="3"/>
    </row>
    <row r="4" customFormat="false" ht="27.75" hidden="false" customHeight="true" outlineLevel="0" collapsed="false">
      <c r="A4" s="5" t="s">
        <v>29</v>
      </c>
      <c r="B4" s="5" t="s">
        <v>30</v>
      </c>
      <c r="C4" s="5" t="s">
        <v>31</v>
      </c>
      <c r="D4" s="5" t="s">
        <v>102</v>
      </c>
      <c r="E4" s="5" t="s">
        <v>33</v>
      </c>
    </row>
    <row r="5" customFormat="false" ht="15" hidden="false" customHeight="false" outlineLevel="0" collapsed="false">
      <c r="A5" s="12" t="s">
        <v>103</v>
      </c>
      <c r="B5" s="13" t="s">
        <v>104</v>
      </c>
      <c r="C5" s="13" t="s">
        <v>36</v>
      </c>
      <c r="D5" s="14" t="n">
        <v>7000000</v>
      </c>
      <c r="E5" s="8" t="s">
        <v>105</v>
      </c>
    </row>
    <row r="6" customFormat="false" ht="15" hidden="false" customHeight="false" outlineLevel="0" collapsed="false">
      <c r="A6" s="12" t="s">
        <v>106</v>
      </c>
      <c r="B6" s="13" t="s">
        <v>104</v>
      </c>
      <c r="C6" s="13" t="s">
        <v>36</v>
      </c>
      <c r="D6" s="14" t="n">
        <v>1800000</v>
      </c>
      <c r="E6" s="8" t="s">
        <v>107</v>
      </c>
    </row>
    <row r="7" customFormat="false" ht="15" hidden="false" customHeight="false" outlineLevel="0" collapsed="false">
      <c r="A7" s="12" t="s">
        <v>108</v>
      </c>
      <c r="B7" s="13" t="s">
        <v>109</v>
      </c>
      <c r="C7" s="13" t="s">
        <v>36</v>
      </c>
      <c r="D7" s="14" t="n">
        <v>1400000</v>
      </c>
      <c r="E7" s="8" t="s">
        <v>110</v>
      </c>
    </row>
    <row r="8" customFormat="false" ht="15" hidden="false" customHeight="false" outlineLevel="0" collapsed="false">
      <c r="A8" s="12" t="s">
        <v>111</v>
      </c>
      <c r="B8" s="13" t="s">
        <v>112</v>
      </c>
      <c r="C8" s="13" t="s">
        <v>36</v>
      </c>
      <c r="D8" s="14" t="n">
        <v>900000</v>
      </c>
      <c r="E8" s="8" t="s">
        <v>113</v>
      </c>
    </row>
    <row r="9" customFormat="false" ht="15" hidden="false" customHeight="false" outlineLevel="0" collapsed="false">
      <c r="A9" s="15" t="s">
        <v>114</v>
      </c>
      <c r="B9" s="15"/>
      <c r="C9" s="15"/>
      <c r="D9" s="16" t="n">
        <f aca="false">SUM(D5:D8)</f>
        <v>11100000</v>
      </c>
      <c r="E9" s="17"/>
    </row>
    <row r="11" customFormat="false" ht="15" hidden="false" customHeight="true" outlineLevel="0" collapsed="false">
      <c r="A11" s="3" t="s">
        <v>115</v>
      </c>
      <c r="B11" s="3"/>
      <c r="C11" s="3"/>
      <c r="D11" s="3"/>
      <c r="E11" s="3"/>
    </row>
    <row r="12" customFormat="false" ht="15" hidden="false" customHeight="false" outlineLevel="0" collapsed="false">
      <c r="A12" s="5" t="s">
        <v>29</v>
      </c>
      <c r="B12" s="5" t="s">
        <v>30</v>
      </c>
      <c r="C12" s="5" t="s">
        <v>31</v>
      </c>
      <c r="D12" s="5" t="s">
        <v>116</v>
      </c>
      <c r="E12" s="5" t="s">
        <v>84</v>
      </c>
    </row>
    <row r="13" customFormat="false" ht="15" hidden="false" customHeight="false" outlineLevel="0" collapsed="false">
      <c r="A13" s="18" t="s">
        <v>117</v>
      </c>
      <c r="B13" s="19" t="s">
        <v>118</v>
      </c>
      <c r="C13" s="19" t="s">
        <v>87</v>
      </c>
      <c r="D13" s="20" t="s">
        <v>94</v>
      </c>
      <c r="E13" s="21" t="s">
        <v>119</v>
      </c>
    </row>
    <row r="14" customFormat="false" ht="15" hidden="false" customHeight="false" outlineLevel="0" collapsed="false">
      <c r="A14" s="18" t="s">
        <v>120</v>
      </c>
      <c r="B14" s="19" t="s">
        <v>93</v>
      </c>
      <c r="C14" s="19" t="s">
        <v>87</v>
      </c>
      <c r="D14" s="20" t="s">
        <v>94</v>
      </c>
      <c r="E14" s="21" t="s">
        <v>121</v>
      </c>
    </row>
    <row r="15" customFormat="false" ht="15" hidden="false" customHeight="false" outlineLevel="0" collapsed="false">
      <c r="A15" s="18" t="s">
        <v>122</v>
      </c>
      <c r="B15" s="19" t="s">
        <v>62</v>
      </c>
      <c r="C15" s="19" t="s">
        <v>87</v>
      </c>
      <c r="D15" s="20" t="s">
        <v>94</v>
      </c>
      <c r="E15" s="21" t="s">
        <v>123</v>
      </c>
    </row>
    <row r="16" customFormat="false" ht="15" hidden="false" customHeight="false" outlineLevel="0" collapsed="false">
      <c r="A16" s="18" t="s">
        <v>124</v>
      </c>
      <c r="B16" s="19" t="s">
        <v>97</v>
      </c>
      <c r="C16" s="19" t="s">
        <v>87</v>
      </c>
      <c r="D16" s="20" t="s">
        <v>88</v>
      </c>
      <c r="E16" s="21" t="s">
        <v>125</v>
      </c>
    </row>
    <row r="17" customFormat="false" ht="27.75" hidden="false" customHeight="true" outlineLevel="0" collapsed="false">
      <c r="A17" s="22" t="s">
        <v>126</v>
      </c>
      <c r="B17" s="22"/>
      <c r="C17" s="22"/>
      <c r="D17" s="22"/>
      <c r="E17" s="22"/>
    </row>
  </sheetData>
  <mergeCells count="5">
    <mergeCell ref="A1:E1"/>
    <mergeCell ref="A3:E3"/>
    <mergeCell ref="A9:C9"/>
    <mergeCell ref="A11:E11"/>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5" min="3" style="0" width="16"/>
    <col collapsed="false" customWidth="true" hidden="false" outlineLevel="0" max="6" min="6" style="0" width="4"/>
    <col collapsed="false" customWidth="true" hidden="false" outlineLevel="0" max="7" min="7" style="0" width="2"/>
  </cols>
  <sheetData>
    <row r="1" customFormat="false" ht="25.5" hidden="false" customHeight="true" outlineLevel="0" collapsed="false">
      <c r="A1" s="1" t="s">
        <v>127</v>
      </c>
      <c r="B1" s="1"/>
      <c r="C1" s="1"/>
      <c r="D1" s="1"/>
      <c r="E1" s="1"/>
    </row>
    <row r="3" customFormat="false" ht="15" hidden="false" customHeight="true" outlineLevel="0" collapsed="false">
      <c r="A3" s="3" t="s">
        <v>128</v>
      </c>
      <c r="B3" s="3"/>
    </row>
    <row r="4" customFormat="false" ht="15" hidden="false" customHeight="false" outlineLevel="0" collapsed="false">
      <c r="A4" s="12" t="s">
        <v>8</v>
      </c>
      <c r="B4" s="23" t="n">
        <f aca="false">Costos!D25</f>
        <v>6400000</v>
      </c>
    </row>
    <row r="5" customFormat="false" ht="15" hidden="false" customHeight="false" outlineLevel="0" collapsed="false">
      <c r="A5" s="12" t="s">
        <v>10</v>
      </c>
      <c r="B5" s="23" t="n">
        <f aca="false">Costos!E25</f>
        <v>3100000</v>
      </c>
    </row>
    <row r="6" customFormat="false" ht="15" hidden="false" customHeight="false" outlineLevel="0" collapsed="false">
      <c r="A6" s="12" t="s">
        <v>129</v>
      </c>
      <c r="B6" s="23" t="n">
        <f aca="false">Beneficios!D9</f>
        <v>11100000</v>
      </c>
    </row>
    <row r="7" customFormat="false" ht="15" hidden="false" customHeight="false" outlineLevel="0" collapsed="false">
      <c r="A7" s="12" t="s">
        <v>130</v>
      </c>
      <c r="B7" s="24" t="n">
        <v>0.75</v>
      </c>
    </row>
    <row r="8" customFormat="false" ht="15" hidden="false" customHeight="false" outlineLevel="0" collapsed="false">
      <c r="A8" s="12" t="s">
        <v>131</v>
      </c>
      <c r="B8" s="24" t="n">
        <v>1</v>
      </c>
    </row>
    <row r="9" customFormat="false" ht="15" hidden="false" customHeight="false" outlineLevel="0" collapsed="false">
      <c r="A9" s="12" t="s">
        <v>132</v>
      </c>
      <c r="B9" s="24" t="n">
        <v>1</v>
      </c>
    </row>
    <row r="10" customFormat="false" ht="15" hidden="false" customHeight="false" outlineLevel="0" collapsed="false">
      <c r="A10" s="12" t="s">
        <v>133</v>
      </c>
      <c r="B10" s="24" t="n">
        <v>0.12</v>
      </c>
    </row>
    <row r="12" customFormat="false" ht="15" hidden="false" customHeight="true" outlineLevel="0" collapsed="false">
      <c r="A12" s="3" t="s">
        <v>134</v>
      </c>
      <c r="B12" s="3"/>
      <c r="C12" s="3"/>
      <c r="D12" s="3"/>
      <c r="E12" s="3"/>
    </row>
    <row r="13" customFormat="false" ht="15" hidden="false" customHeight="false" outlineLevel="0" collapsed="false">
      <c r="A13" s="5" t="s">
        <v>29</v>
      </c>
      <c r="B13" s="5" t="s">
        <v>135</v>
      </c>
      <c r="C13" s="5" t="s">
        <v>136</v>
      </c>
      <c r="D13" s="5" t="s">
        <v>137</v>
      </c>
      <c r="E13" s="5" t="s">
        <v>138</v>
      </c>
    </row>
    <row r="14" customFormat="false" ht="15" hidden="false" customHeight="false" outlineLevel="0" collapsed="false">
      <c r="A14" s="12" t="s">
        <v>139</v>
      </c>
      <c r="B14" s="25" t="n">
        <f aca="false">-$B$4</f>
        <v>-6400000</v>
      </c>
      <c r="C14" s="25" t="n">
        <v>0</v>
      </c>
      <c r="D14" s="25" t="n">
        <v>0</v>
      </c>
      <c r="E14" s="25" t="n">
        <v>0</v>
      </c>
    </row>
    <row r="15" customFormat="false" ht="15" hidden="false" customHeight="false" outlineLevel="0" collapsed="false">
      <c r="A15" s="12" t="s">
        <v>140</v>
      </c>
      <c r="B15" s="25" t="n">
        <v>0</v>
      </c>
      <c r="C15" s="25" t="n">
        <f aca="false">$B$6*$B$7</f>
        <v>8325000</v>
      </c>
      <c r="D15" s="25" t="n">
        <f aca="false">$B$6*$B$8</f>
        <v>11100000</v>
      </c>
      <c r="E15" s="25" t="n">
        <f aca="false">$B$6*$B$9</f>
        <v>11100000</v>
      </c>
    </row>
    <row r="16" customFormat="false" ht="15" hidden="false" customHeight="false" outlineLevel="0" collapsed="false">
      <c r="A16" s="12" t="s">
        <v>141</v>
      </c>
      <c r="B16" s="25" t="n">
        <v>0</v>
      </c>
      <c r="C16" s="25" t="n">
        <f aca="false">-$B$5</f>
        <v>-3100000</v>
      </c>
      <c r="D16" s="25" t="n">
        <f aca="false">-$B$5</f>
        <v>-3100000</v>
      </c>
      <c r="E16" s="25" t="n">
        <f aca="false">-$B$5</f>
        <v>-3100000</v>
      </c>
    </row>
    <row r="17" customFormat="false" ht="15" hidden="false" customHeight="false" outlineLevel="0" collapsed="false">
      <c r="A17" s="26" t="s">
        <v>142</v>
      </c>
      <c r="B17" s="27" t="n">
        <f aca="false">SUM(B14:B16)</f>
        <v>-6400000</v>
      </c>
      <c r="C17" s="27" t="n">
        <f aca="false">SUM(C14:C16)</f>
        <v>5225000</v>
      </c>
      <c r="D17" s="27" t="n">
        <f aca="false">SUM(D14:D16)</f>
        <v>8000000</v>
      </c>
      <c r="E17" s="27" t="n">
        <f aca="false">SUM(E14:E16)</f>
        <v>8000000</v>
      </c>
    </row>
    <row r="18" customFormat="false" ht="15" hidden="false" customHeight="false" outlineLevel="0" collapsed="false">
      <c r="A18" s="6" t="s">
        <v>143</v>
      </c>
      <c r="B18" s="28" t="n">
        <f aca="false">B17</f>
        <v>-6400000</v>
      </c>
      <c r="C18" s="28" t="n">
        <f aca="false">B18+C17</f>
        <v>-1175000</v>
      </c>
      <c r="D18" s="28" t="n">
        <f aca="false">C18+D17</f>
        <v>6825000</v>
      </c>
      <c r="E18" s="28" t="n">
        <f aca="false">D18+E17</f>
        <v>14825000</v>
      </c>
    </row>
    <row r="19" customFormat="false" ht="15" hidden="false" customHeight="false" outlineLevel="0" collapsed="false">
      <c r="A19" s="8" t="s">
        <v>144</v>
      </c>
      <c r="B19" s="29" t="n">
        <f aca="false">1/(1+$B$10)^0</f>
        <v>1</v>
      </c>
      <c r="C19" s="29" t="n">
        <f aca="false">1/(1+$B$10)^1</f>
        <v>0.892857142857143</v>
      </c>
      <c r="D19" s="29" t="n">
        <f aca="false">1/(1+$B$10)^2</f>
        <v>0.79719387755102</v>
      </c>
      <c r="E19" s="29" t="n">
        <f aca="false">1/(1+$B$10)^3</f>
        <v>0.711780247813411</v>
      </c>
    </row>
    <row r="20" customFormat="false" ht="15" hidden="false" customHeight="false" outlineLevel="0" collapsed="false">
      <c r="A20" s="12" t="s">
        <v>145</v>
      </c>
      <c r="B20" s="25" t="n">
        <f aca="false">B17*B19</f>
        <v>-6400000</v>
      </c>
      <c r="C20" s="25" t="n">
        <f aca="false">C17*C19</f>
        <v>4665178.57142857</v>
      </c>
      <c r="D20" s="25" t="n">
        <f aca="false">D17*D19</f>
        <v>6377551.02040816</v>
      </c>
      <c r="E20" s="25" t="n">
        <f aca="false">E17*E19</f>
        <v>5694241.98250729</v>
      </c>
    </row>
    <row r="22" customFormat="false" ht="15" hidden="false" customHeight="true" outlineLevel="0" collapsed="false">
      <c r="A22" s="3" t="s">
        <v>146</v>
      </c>
      <c r="B22" s="3"/>
      <c r="C22" s="3"/>
      <c r="D22" s="3"/>
      <c r="E22" s="3"/>
    </row>
    <row r="23" customFormat="false" ht="15" hidden="false" customHeight="true" outlineLevel="0" collapsed="false">
      <c r="A23" s="5" t="s">
        <v>5</v>
      </c>
      <c r="B23" s="5" t="s">
        <v>6</v>
      </c>
      <c r="C23" s="5" t="s">
        <v>147</v>
      </c>
      <c r="D23" s="5"/>
      <c r="E23" s="5"/>
    </row>
    <row r="24" customFormat="false" ht="15" hidden="false" customHeight="true" outlineLevel="0" collapsed="false">
      <c r="A24" s="12" t="s">
        <v>12</v>
      </c>
      <c r="B24" s="28" t="n">
        <f aca="false">-(SUM(B14:E14)+SUM(B16:E16))</f>
        <v>15700000</v>
      </c>
      <c r="C24" s="8" t="s">
        <v>148</v>
      </c>
      <c r="D24" s="8"/>
      <c r="E24" s="8"/>
    </row>
    <row r="25" customFormat="false" ht="15" hidden="false" customHeight="true" outlineLevel="0" collapsed="false">
      <c r="A25" s="12" t="s">
        <v>14</v>
      </c>
      <c r="B25" s="28" t="n">
        <f aca="false">SUM(B15:E15)</f>
        <v>30525000</v>
      </c>
      <c r="C25" s="8" t="s">
        <v>149</v>
      </c>
      <c r="D25" s="8"/>
      <c r="E25" s="8"/>
    </row>
    <row r="26" customFormat="false" ht="15" hidden="false" customHeight="true" outlineLevel="0" collapsed="false">
      <c r="A26" s="12" t="s">
        <v>16</v>
      </c>
      <c r="B26" s="28" t="n">
        <f aca="false">B25-B24</f>
        <v>14825000</v>
      </c>
      <c r="C26" s="8" t="s">
        <v>150</v>
      </c>
      <c r="D26" s="8"/>
      <c r="E26" s="8"/>
    </row>
    <row r="27" customFormat="false" ht="15" hidden="false" customHeight="true" outlineLevel="0" collapsed="false">
      <c r="A27" s="30" t="s">
        <v>18</v>
      </c>
      <c r="B27" s="31" t="n">
        <f aca="false">B26/B24</f>
        <v>0.944267515923567</v>
      </c>
      <c r="C27" s="32" t="s">
        <v>151</v>
      </c>
      <c r="D27" s="32"/>
      <c r="E27" s="32"/>
    </row>
    <row r="28" customFormat="false" ht="22.35" hidden="false" customHeight="true" outlineLevel="0" collapsed="false">
      <c r="A28" s="30" t="s">
        <v>152</v>
      </c>
      <c r="B28" s="33" t="n">
        <f aca="false">1+ABS(C18)/D17</f>
        <v>1.146875</v>
      </c>
      <c r="C28" s="32" t="s">
        <v>153</v>
      </c>
      <c r="D28" s="32"/>
      <c r="E28" s="32"/>
    </row>
    <row r="29" customFormat="false" ht="15" hidden="false" customHeight="true" outlineLevel="0" collapsed="false">
      <c r="A29" s="12" t="s">
        <v>154</v>
      </c>
      <c r="B29" s="34" t="n">
        <f aca="false">B28*12</f>
        <v>13.7625</v>
      </c>
      <c r="C29" s="8" t="s">
        <v>155</v>
      </c>
      <c r="D29" s="8"/>
      <c r="E29" s="8"/>
    </row>
    <row r="30" customFormat="false" ht="15" hidden="false" customHeight="true" outlineLevel="0" collapsed="false">
      <c r="A30" s="30" t="s">
        <v>22</v>
      </c>
      <c r="B30" s="35" t="n">
        <f aca="false">SUM(B20:E20)</f>
        <v>10336971.574344</v>
      </c>
      <c r="C30" s="32" t="s">
        <v>156</v>
      </c>
      <c r="D30" s="32"/>
      <c r="E30" s="32"/>
    </row>
    <row r="31" customFormat="false" ht="15" hidden="false" customHeight="true" outlineLevel="0" collapsed="false">
      <c r="A31" s="12" t="s">
        <v>157</v>
      </c>
      <c r="B31" s="36" t="n">
        <f aca="false">IRR(B17:E17)</f>
        <v>0.854159457600778</v>
      </c>
      <c r="C31" s="8" t="s">
        <v>158</v>
      </c>
      <c r="D31" s="8"/>
      <c r="E31" s="8"/>
    </row>
  </sheetData>
  <mergeCells count="13">
    <mergeCell ref="A1:E1"/>
    <mergeCell ref="A3:B3"/>
    <mergeCell ref="A12:E12"/>
    <mergeCell ref="A22:E22"/>
    <mergeCell ref="C23:E23"/>
    <mergeCell ref="C24:E24"/>
    <mergeCell ref="C25:E25"/>
    <mergeCell ref="C26:E26"/>
    <mergeCell ref="C27:E27"/>
    <mergeCell ref="C28:E28"/>
    <mergeCell ref="C29:E29"/>
    <mergeCell ref="C30:E30"/>
    <mergeCell ref="C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
  <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2026-06-12T20:04:20Z</dcterms:created>
  <dc:creator/>
  <dc:description/>
  <dc:language>en-US</dc:language>
  <cp:lastModifiedBy/>
  <dcterms:modified xsi:type="dcterms:W3CDTF">2026-06-12T20:04:27Z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